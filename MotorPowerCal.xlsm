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showVerticalScroll="0" showSheetTabs="0" xWindow="120" yWindow="120" windowWidth="12915" windowHeight="6585" firstSheet="1" activeTab="1"/>
  </bookViews>
  <sheets>
    <sheet name="Home" sheetId="1" state="veryHidden" r:id="rId1"/>
    <sheet name="Frontpage" sheetId="3" r:id="rId2"/>
  </sheets>
  <definedNames>
    <definedName name="_xlnm.Print_Area" localSheetId="0">Home!$A$1:$I$26</definedName>
  </definedNames>
  <calcPr calcId="145621"/>
</workbook>
</file>

<file path=xl/calcChain.xml><?xml version="1.0" encoding="utf-8"?>
<calcChain xmlns="http://schemas.openxmlformats.org/spreadsheetml/2006/main">
  <c r="B16" i="1" l="1"/>
  <c r="B10" i="1" l="1"/>
  <c r="B12" i="1" s="1"/>
  <c r="B14" i="1" s="1"/>
  <c r="B22" i="1"/>
  <c r="B24" i="1" s="1"/>
  <c r="M45" i="1" l="1"/>
  <c r="D20" i="1" s="1"/>
  <c r="M44" i="1"/>
  <c r="D14" i="1" s="1"/>
  <c r="M42" i="1" l="1"/>
  <c r="A22" i="1" s="1"/>
  <c r="M43" i="1"/>
  <c r="A24" i="1" s="1"/>
  <c r="M41" i="1"/>
  <c r="A20" i="1" s="1"/>
  <c r="M40" i="1"/>
  <c r="A18" i="1" s="1"/>
  <c r="M39" i="1"/>
  <c r="A16" i="1" s="1"/>
  <c r="M38" i="1"/>
  <c r="E6" i="1" s="1"/>
  <c r="M37" i="1"/>
  <c r="E4" i="1" s="1"/>
  <c r="M29" i="1"/>
  <c r="A1" i="1" s="1"/>
  <c r="M30" i="1" l="1"/>
  <c r="A4" i="1" s="1"/>
  <c r="M31" i="1"/>
  <c r="A6" i="1" s="1"/>
  <c r="M32" i="1"/>
  <c r="A8" i="1" s="1"/>
  <c r="M33" i="1"/>
  <c r="A10" i="1" s="1"/>
  <c r="M34" i="1"/>
  <c r="A12" i="1" s="1"/>
  <c r="M35" i="1"/>
  <c r="E8" i="1" s="1"/>
  <c r="M36" i="1"/>
  <c r="A14" i="1" s="1"/>
</calcChain>
</file>

<file path=xl/sharedStrings.xml><?xml version="1.0" encoding="utf-8"?>
<sst xmlns="http://schemas.openxmlformats.org/spreadsheetml/2006/main" count="55" uniqueCount="53">
  <si>
    <t xml:space="preserve">  V</t>
  </si>
  <si>
    <t xml:space="preserve"> kW</t>
  </si>
  <si>
    <t>Measured Current</t>
  </si>
  <si>
    <t>Mesured Voltage</t>
  </si>
  <si>
    <t>Power Factor</t>
  </si>
  <si>
    <t>Apparent Power</t>
  </si>
  <si>
    <t>Electrical Power</t>
  </si>
  <si>
    <t>Motor Efficiency</t>
  </si>
  <si>
    <t>Outpower Power</t>
  </si>
  <si>
    <t>=Istaring*Urated /U starting</t>
  </si>
  <si>
    <t>=Imeasured*Urated /Umeasured</t>
  </si>
  <si>
    <t>A</t>
  </si>
  <si>
    <t>V</t>
  </si>
  <si>
    <t>额定电压下的稳态电流</t>
  </si>
  <si>
    <t xml:space="preserve"> V</t>
  </si>
  <si>
    <t>需要同意宏命令才能操作。</t>
    <phoneticPr fontId="1" type="noConversion"/>
  </si>
  <si>
    <t>Macro Permission is Required</t>
    <phoneticPr fontId="1" type="noConversion"/>
  </si>
  <si>
    <t>Rated Current</t>
    <phoneticPr fontId="1" type="noConversion"/>
  </si>
  <si>
    <t>Rated Voltage</t>
    <phoneticPr fontId="1" type="noConversion"/>
  </si>
  <si>
    <t>Starting Current</t>
    <phoneticPr fontId="1" type="noConversion"/>
  </si>
  <si>
    <t>Starting Voltage</t>
    <phoneticPr fontId="1" type="noConversion"/>
  </si>
  <si>
    <t>I starting at Urated</t>
    <phoneticPr fontId="1" type="noConversion"/>
  </si>
  <si>
    <t>I input at Urated</t>
    <phoneticPr fontId="1" type="noConversion"/>
  </si>
  <si>
    <t>English</t>
    <phoneticPr fontId="1" type="noConversion"/>
  </si>
  <si>
    <t>Display Name</t>
    <phoneticPr fontId="1" type="noConversion"/>
  </si>
  <si>
    <t>中文</t>
    <phoneticPr fontId="1" type="noConversion"/>
  </si>
  <si>
    <t>中英文切换参数</t>
    <phoneticPr fontId="1" type="noConversion"/>
  </si>
  <si>
    <t>电机电气计算</t>
    <phoneticPr fontId="1" type="noConversion"/>
  </si>
  <si>
    <t>Motor Electrical Calculation</t>
    <phoneticPr fontId="1" type="noConversion"/>
  </si>
  <si>
    <t>V1.0</t>
    <phoneticPr fontId="1" type="noConversion"/>
  </si>
  <si>
    <t>called Rated Power at rated motor condition</t>
    <phoneticPr fontId="1" type="noConversion"/>
  </si>
  <si>
    <t>The minimal voltage during starting</t>
    <phoneticPr fontId="1" type="noConversion"/>
  </si>
  <si>
    <t>Starting Current Ratio</t>
    <phoneticPr fontId="1" type="noConversion"/>
  </si>
  <si>
    <t>=Istarting/ Irated (corrected starting current)</t>
    <phoneticPr fontId="1" type="noConversion"/>
  </si>
  <si>
    <t xml:space="preserve"> </t>
    <phoneticPr fontId="1" type="noConversion"/>
  </si>
  <si>
    <t xml:space="preserve"> A</t>
    <phoneticPr fontId="1" type="noConversion"/>
  </si>
  <si>
    <t xml:space="preserve">  A</t>
    <phoneticPr fontId="1" type="noConversion"/>
  </si>
  <si>
    <t xml:space="preserve"> A</t>
    <phoneticPr fontId="1" type="noConversion"/>
  </si>
  <si>
    <t xml:space="preserve">测量电流  </t>
    <phoneticPr fontId="1" type="noConversion"/>
  </si>
  <si>
    <t xml:space="preserve">功率因数  </t>
    <phoneticPr fontId="1" type="noConversion"/>
  </si>
  <si>
    <t xml:space="preserve">视在功率  </t>
    <phoneticPr fontId="1" type="noConversion"/>
  </si>
  <si>
    <t xml:space="preserve">电功率  </t>
    <phoneticPr fontId="1" type="noConversion"/>
  </si>
  <si>
    <t xml:space="preserve">电机效率    </t>
    <phoneticPr fontId="1" type="noConversion"/>
  </si>
  <si>
    <t xml:space="preserve">输出功率  </t>
    <phoneticPr fontId="1" type="noConversion"/>
  </si>
  <si>
    <t xml:space="preserve">额定电流    </t>
    <phoneticPr fontId="1" type="noConversion"/>
  </si>
  <si>
    <t xml:space="preserve">额定电压    </t>
    <phoneticPr fontId="1" type="noConversion"/>
  </si>
  <si>
    <t xml:space="preserve">启动电压  </t>
    <phoneticPr fontId="1" type="noConversion"/>
  </si>
  <si>
    <t xml:space="preserve">启动电流  </t>
    <phoneticPr fontId="1" type="noConversion"/>
  </si>
  <si>
    <t>额定电压下的启动电流</t>
    <phoneticPr fontId="1" type="noConversion"/>
  </si>
  <si>
    <t xml:space="preserve">启动电流比  </t>
    <phoneticPr fontId="1" type="noConversion"/>
  </si>
  <si>
    <t xml:space="preserve">电机额定工况下为额定功率 </t>
    <phoneticPr fontId="1" type="noConversion"/>
  </si>
  <si>
    <t xml:space="preserve">启动瞬间的电压（最低电压） </t>
    <phoneticPr fontId="1" type="noConversion"/>
  </si>
  <si>
    <t xml:space="preserve">测量电压 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</si>
</sst>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22"/>
      <color theme="0"/>
      <name val="华文仿宋"/>
      <family val="3"/>
      <charset val="134"/>
    </font>
    <font>
      <sz val="9"/>
      <color rgb="FF000000"/>
      <name val="宋体"/>
      <family val="3"/>
      <charset val="134"/>
    </font>
    <font>
      <sz val="11"/>
      <color rgb="FFFF0000"/>
      <name val="微软雅黑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gray125">
        <bgColor theme="9" tint="-0.24994659260841701"/>
      </patternFill>
    </fill>
    <fill>
      <patternFill patternType="lightTrellis">
        <fgColor theme="0"/>
        <bgColor theme="8" tint="0.39991454817346722"/>
      </patternFill>
    </fill>
    <fill>
      <patternFill patternType="solid">
        <fgColor theme="0"/>
        <bgColor theme="0"/>
      </patternFill>
    </fill>
    <fill>
      <patternFill patternType="solid">
        <fgColor theme="0" tint="-0.34998626667073579"/>
        <bgColor theme="0"/>
      </patternFill>
    </fill>
    <fill>
      <patternFill patternType="solid">
        <fgColor theme="4"/>
      </patternFill>
    </fill>
    <fill>
      <patternFill patternType="solid">
        <fgColor theme="0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7" borderId="0" applyNumberFormat="0" applyBorder="0" applyAlignment="0" applyProtection="0">
      <alignment vertical="center"/>
    </xf>
  </cellStyleXfs>
  <cellXfs count="35">
    <xf numFmtId="0" fontId="0" fillId="0" borderId="0" xfId="0"/>
    <xf numFmtId="0" fontId="2" fillId="7" borderId="0" xfId="1" applyAlignment="1"/>
    <xf numFmtId="0" fontId="3" fillId="7" borderId="0" xfId="1" applyFont="1" applyAlignment="1"/>
    <xf numFmtId="0" fontId="4" fillId="0" borderId="0" xfId="0" applyFont="1" applyProtection="1"/>
    <xf numFmtId="0" fontId="4" fillId="2" borderId="0" xfId="0" applyFont="1" applyFill="1" applyProtection="1"/>
    <xf numFmtId="0" fontId="4" fillId="8" borderId="0" xfId="0" applyFont="1" applyFill="1" applyBorder="1" applyProtection="1"/>
    <xf numFmtId="0" fontId="4" fillId="2" borderId="0" xfId="0" applyFont="1" applyFill="1" applyAlignment="1" applyProtection="1">
      <alignment horizontal="left" vertical="center"/>
    </xf>
    <xf numFmtId="0" fontId="4" fillId="5" borderId="1" xfId="0" applyNumberFormat="1" applyFont="1" applyFill="1" applyBorder="1" applyProtection="1">
      <protection locked="0"/>
    </xf>
    <xf numFmtId="0" fontId="4" fillId="2" borderId="0" xfId="0" applyFont="1" applyFill="1" applyAlignment="1" applyProtection="1">
      <alignment horizontal="left"/>
    </xf>
    <xf numFmtId="0" fontId="4" fillId="8" borderId="0" xfId="0" applyFont="1" applyFill="1" applyBorder="1" applyAlignment="1" applyProtection="1">
      <alignment horizontal="right"/>
    </xf>
    <xf numFmtId="2" fontId="4" fillId="2" borderId="0" xfId="0" applyNumberFormat="1" applyFont="1" applyFill="1" applyBorder="1" applyProtection="1"/>
    <xf numFmtId="0" fontId="4" fillId="2" borderId="2" xfId="0" applyFont="1" applyFill="1" applyBorder="1" applyAlignment="1" applyProtection="1">
      <alignment horizontal="left" vertical="center"/>
    </xf>
    <xf numFmtId="0" fontId="4" fillId="2" borderId="0" xfId="0" applyFont="1" applyFill="1" applyBorder="1" applyProtection="1"/>
    <xf numFmtId="0" fontId="4" fillId="8" borderId="0" xfId="0" applyFont="1" applyFill="1" applyBorder="1" applyAlignment="1" applyProtection="1">
      <alignment horizontal="right" shrinkToFit="1"/>
    </xf>
    <xf numFmtId="0" fontId="5" fillId="4" borderId="0" xfId="0" applyFont="1" applyFill="1" applyBorder="1" applyProtection="1"/>
    <xf numFmtId="0" fontId="4" fillId="4" borderId="0" xfId="0" applyFont="1" applyFill="1" applyProtection="1"/>
    <xf numFmtId="0" fontId="6" fillId="2" borderId="0" xfId="0" applyFont="1" applyFill="1" applyProtection="1"/>
    <xf numFmtId="0" fontId="4" fillId="2" borderId="0" xfId="0" applyFont="1" applyFill="1" applyAlignment="1" applyProtection="1">
      <alignment horizontal="left" vertical="center" shrinkToFit="1"/>
    </xf>
    <xf numFmtId="0" fontId="4" fillId="5" borderId="3" xfId="0" applyNumberFormat="1" applyFont="1" applyFill="1" applyBorder="1" applyProtection="1">
      <protection locked="0"/>
    </xf>
    <xf numFmtId="0" fontId="4" fillId="2" borderId="0" xfId="0" applyFont="1" applyFill="1" applyBorder="1" applyAlignment="1" applyProtection="1">
      <alignment horizontal="left" vertical="center"/>
    </xf>
    <xf numFmtId="0" fontId="4" fillId="6" borderId="0" xfId="0" applyNumberFormat="1" applyFont="1" applyFill="1" applyBorder="1" applyProtection="1"/>
    <xf numFmtId="0" fontId="4" fillId="5" borderId="0" xfId="0" applyNumberFormat="1" applyFont="1" applyFill="1" applyBorder="1" applyProtection="1">
      <protection locked="0"/>
    </xf>
    <xf numFmtId="0" fontId="4" fillId="2" borderId="0" xfId="0" applyFont="1" applyFill="1" applyBorder="1" applyAlignment="1" applyProtection="1">
      <alignment horizontal="left" vertical="center" shrinkToFit="1"/>
    </xf>
    <xf numFmtId="0" fontId="4" fillId="4" borderId="0" xfId="0" applyFont="1" applyFill="1" applyBorder="1" applyProtection="1"/>
    <xf numFmtId="0" fontId="7" fillId="3" borderId="0" xfId="0" applyFont="1" applyFill="1" applyAlignment="1" applyProtection="1">
      <alignment vertical="center"/>
    </xf>
    <xf numFmtId="49" fontId="6" fillId="2" borderId="0" xfId="0" quotePrefix="1" applyNumberFormat="1" applyFont="1" applyFill="1" applyProtection="1"/>
    <xf numFmtId="0" fontId="6" fillId="2" borderId="0" xfId="0" applyFont="1" applyFill="1" applyBorder="1" applyProtection="1"/>
    <xf numFmtId="49" fontId="6" fillId="2" borderId="0" xfId="0" quotePrefix="1" applyNumberFormat="1" applyFont="1" applyFill="1" applyBorder="1" applyProtection="1"/>
    <xf numFmtId="0" fontId="6" fillId="2" borderId="0" xfId="0" quotePrefix="1" applyFont="1" applyFill="1" applyBorder="1" applyProtection="1"/>
    <xf numFmtId="0" fontId="5" fillId="5" borderId="4" xfId="0" applyNumberFormat="1" applyFont="1" applyFill="1" applyBorder="1" applyAlignment="1" applyProtection="1">
      <protection locked="0"/>
    </xf>
    <xf numFmtId="0" fontId="0" fillId="2" borderId="0" xfId="0" applyFill="1"/>
    <xf numFmtId="0" fontId="3" fillId="0" borderId="0" xfId="0" applyFont="1"/>
    <xf numFmtId="0" fontId="3" fillId="0" borderId="0" xfId="0" applyFont="1" applyProtection="1">
      <protection locked="0"/>
    </xf>
    <xf numFmtId="0" fontId="9" fillId="0" borderId="0" xfId="0" applyFont="1" applyProtection="1"/>
    <xf numFmtId="0" fontId="7" fillId="3" borderId="0" xfId="0" applyFont="1" applyFill="1" applyAlignment="1" applyProtection="1">
      <alignment horizontal="center" vertical="center"/>
    </xf>
  </cellXfs>
  <cellStyles count="2">
    <cellStyle name="常规" xfId="0" builtinId="0"/>
    <cellStyle name="强调文字颜色 1" xfId="1" builtinId="29"/>
  </cellStyles>
  <dxfs count="0"/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P26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</xdr:row>
          <xdr:rowOff>0</xdr:rowOff>
        </xdr:from>
        <xdr:to>
          <xdr:col>13</xdr:col>
          <xdr:colOff>571500</xdr:colOff>
          <xdr:row>20</xdr:row>
          <xdr:rowOff>28575</xdr:rowOff>
        </xdr:to>
        <xdr:sp macro="" textlink="">
          <xdr:nvSpPr>
            <xdr:cNvPr id="1025" name="Example_imag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5</xdr:row>
          <xdr:rowOff>171450</xdr:rowOff>
        </xdr:from>
        <xdr:to>
          <xdr:col>8</xdr:col>
          <xdr:colOff>428625</xdr:colOff>
          <xdr:row>7</xdr:row>
          <xdr:rowOff>114300</xdr:rowOff>
        </xdr:to>
        <xdr:sp macro="" textlink="">
          <xdr:nvSpPr>
            <xdr:cNvPr id="1026" name="Exampe_moto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3</xdr:row>
          <xdr:rowOff>57150</xdr:rowOff>
        </xdr:from>
        <xdr:to>
          <xdr:col>8</xdr:col>
          <xdr:colOff>438150</xdr:colOff>
          <xdr:row>5</xdr:row>
          <xdr:rowOff>9525</xdr:rowOff>
        </xdr:to>
        <xdr:sp macro="" textlink="">
          <xdr:nvSpPr>
            <xdr:cNvPr id="1027" name="Inputbox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0</xdr:col>
          <xdr:colOff>971550</xdr:colOff>
          <xdr:row>0</xdr:row>
          <xdr:rowOff>257175</xdr:rowOff>
        </xdr:to>
        <xdr:sp macro="" textlink="">
          <xdr:nvSpPr>
            <xdr:cNvPr id="1036" name="Option 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中文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266700</xdr:rowOff>
        </xdr:from>
        <xdr:to>
          <xdr:col>0</xdr:col>
          <xdr:colOff>971550</xdr:colOff>
          <xdr:row>0</xdr:row>
          <xdr:rowOff>476250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English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P49"/>
  <sheetViews>
    <sheetView showGridLines="0" showRowColHeaders="0" zoomScaleNormal="100" workbookViewId="0">
      <selection activeCell="B20" sqref="B20"/>
    </sheetView>
  </sheetViews>
  <sheetFormatPr defaultRowHeight="16.5" x14ac:dyDescent="0.3"/>
  <cols>
    <col min="1" max="1" width="21.375" style="3" customWidth="1"/>
    <col min="2" max="3" width="9" style="3"/>
    <col min="4" max="4" width="13.75" style="3" customWidth="1"/>
    <col min="5" max="5" width="15" style="3" customWidth="1"/>
    <col min="6" max="6" width="10.375" style="3" customWidth="1"/>
    <col min="7" max="7" width="5.875" style="3" customWidth="1"/>
    <col min="8" max="11" width="9" style="3"/>
    <col min="12" max="12" width="10" style="3" customWidth="1"/>
    <col min="13" max="13" width="45.75" style="3" customWidth="1"/>
    <col min="14" max="14" width="29.625" style="3" customWidth="1"/>
    <col min="15" max="15" width="21.5" style="3" customWidth="1"/>
    <col min="16" max="16" width="12" style="3" bestFit="1" customWidth="1"/>
    <col min="17" max="16384" width="9" style="3"/>
  </cols>
  <sheetData>
    <row r="1" spans="1:9" ht="41.25" customHeight="1" x14ac:dyDescent="0.3">
      <c r="A1" s="34" t="str">
        <f>M29</f>
        <v>电机电气计算</v>
      </c>
      <c r="B1" s="34"/>
      <c r="C1" s="34"/>
      <c r="D1" s="34"/>
      <c r="E1" s="34"/>
      <c r="F1" s="34"/>
      <c r="G1" s="34"/>
      <c r="H1" s="34"/>
      <c r="I1" s="24" t="s">
        <v>29</v>
      </c>
    </row>
    <row r="2" spans="1:9" ht="12" customHeight="1" x14ac:dyDescent="0.3">
      <c r="A2" s="4"/>
      <c r="B2" s="4"/>
      <c r="C2" s="4"/>
      <c r="D2" s="4"/>
      <c r="E2" s="4"/>
      <c r="F2" s="4"/>
      <c r="G2" s="4"/>
      <c r="H2" s="4"/>
      <c r="I2" s="4"/>
    </row>
    <row r="3" spans="1:9" ht="6" customHeight="1" x14ac:dyDescent="0.3">
      <c r="A3" s="4"/>
      <c r="B3" s="4"/>
      <c r="C3" s="4"/>
      <c r="D3" s="4"/>
      <c r="E3" s="5"/>
      <c r="F3" s="5"/>
      <c r="G3" s="5"/>
      <c r="H3" s="4"/>
      <c r="I3" s="4"/>
    </row>
    <row r="4" spans="1:9" ht="16.5" customHeight="1" x14ac:dyDescent="0.3">
      <c r="A4" s="6" t="str">
        <f>M30</f>
        <v xml:space="preserve">测量电流  </v>
      </c>
      <c r="B4" s="7">
        <v>50.14</v>
      </c>
      <c r="C4" s="8" t="s">
        <v>36</v>
      </c>
      <c r="D4" s="4"/>
      <c r="E4" s="9" t="str">
        <f>M37</f>
        <v xml:space="preserve">额定电流    </v>
      </c>
      <c r="F4" s="7">
        <v>66</v>
      </c>
      <c r="G4" s="5" t="s">
        <v>11</v>
      </c>
      <c r="H4" s="4"/>
      <c r="I4" s="4"/>
    </row>
    <row r="5" spans="1:9" ht="15" customHeight="1" x14ac:dyDescent="0.3">
      <c r="A5" s="6"/>
      <c r="B5" s="4"/>
      <c r="C5" s="8"/>
      <c r="D5" s="4"/>
      <c r="E5" s="9"/>
      <c r="F5" s="5"/>
      <c r="G5" s="5"/>
      <c r="H5" s="4"/>
      <c r="I5" s="4"/>
    </row>
    <row r="6" spans="1:9" ht="16.5" customHeight="1" x14ac:dyDescent="0.3">
      <c r="A6" s="6" t="str">
        <f>M31</f>
        <v xml:space="preserve">测量电压  </v>
      </c>
      <c r="B6" s="18">
        <v>10317.09</v>
      </c>
      <c r="C6" s="8" t="s">
        <v>0</v>
      </c>
      <c r="D6" s="4"/>
      <c r="E6" s="9" t="str">
        <f>M38</f>
        <v xml:space="preserve">额定电压    </v>
      </c>
      <c r="F6" s="7">
        <v>10000</v>
      </c>
      <c r="G6" s="5" t="s">
        <v>12</v>
      </c>
      <c r="H6" s="4"/>
      <c r="I6" s="4"/>
    </row>
    <row r="7" spans="1:9" ht="15" customHeight="1" x14ac:dyDescent="0.3">
      <c r="A7" s="6"/>
      <c r="B7" s="30"/>
      <c r="C7" s="4"/>
      <c r="D7" s="10"/>
      <c r="E7" s="9"/>
      <c r="F7" s="5"/>
      <c r="G7" s="5"/>
      <c r="H7" s="4"/>
      <c r="I7" s="4"/>
    </row>
    <row r="8" spans="1:9" ht="16.5" customHeight="1" x14ac:dyDescent="0.3">
      <c r="A8" s="11" t="str">
        <f>M32</f>
        <v xml:space="preserve">功率因数  </v>
      </c>
      <c r="B8" s="29">
        <v>0.90500000000000003</v>
      </c>
      <c r="C8" s="4"/>
      <c r="D8" s="12"/>
      <c r="E8" s="13" t="str">
        <f>M35</f>
        <v xml:space="preserve">电机效率    </v>
      </c>
      <c r="F8" s="7">
        <v>0.96099999999999997</v>
      </c>
      <c r="G8" s="5"/>
      <c r="H8" s="4"/>
      <c r="I8" s="4"/>
    </row>
    <row r="9" spans="1:9" ht="15" customHeight="1" x14ac:dyDescent="0.3">
      <c r="A9" s="6"/>
      <c r="B9" s="4"/>
      <c r="C9" s="4"/>
      <c r="D9" s="4"/>
      <c r="E9" s="5"/>
      <c r="F9" s="5"/>
      <c r="G9" s="5"/>
      <c r="H9" s="4"/>
      <c r="I9" s="4"/>
    </row>
    <row r="10" spans="1:9" ht="16.5" customHeight="1" x14ac:dyDescent="0.3">
      <c r="A10" s="6" t="str">
        <f>M33</f>
        <v xml:space="preserve">视在功率  </v>
      </c>
      <c r="B10" s="14">
        <f>ROUND(SQRT(3)*B4*B6/1000,2)</f>
        <v>895.99</v>
      </c>
      <c r="C10" s="4" t="s">
        <v>1</v>
      </c>
      <c r="D10" s="4"/>
      <c r="E10" s="12"/>
      <c r="F10" s="12"/>
      <c r="G10" s="12"/>
      <c r="H10" s="4"/>
      <c r="I10" s="4"/>
    </row>
    <row r="11" spans="1:9" ht="15" customHeight="1" x14ac:dyDescent="0.3">
      <c r="A11" s="6"/>
      <c r="B11" s="4"/>
      <c r="C11" s="4"/>
      <c r="D11" s="4"/>
      <c r="E11" s="12"/>
      <c r="F11" s="12"/>
      <c r="G11" s="12"/>
      <c r="H11" s="4"/>
      <c r="I11" s="4"/>
    </row>
    <row r="12" spans="1:9" ht="16.5" customHeight="1" x14ac:dyDescent="0.35">
      <c r="A12" s="6" t="str">
        <f>M34</f>
        <v xml:space="preserve">电功率  </v>
      </c>
      <c r="B12" s="15">
        <f>ROUND(B10*B8,2)</f>
        <v>810.87</v>
      </c>
      <c r="C12" s="4" t="s">
        <v>1</v>
      </c>
      <c r="D12" s="16"/>
      <c r="E12" s="4"/>
      <c r="F12" s="4"/>
      <c r="G12" s="4"/>
      <c r="H12" s="4"/>
      <c r="I12" s="4"/>
    </row>
    <row r="13" spans="1:9" ht="15" customHeight="1" x14ac:dyDescent="0.3">
      <c r="A13" s="6"/>
      <c r="B13" s="4"/>
      <c r="C13" s="4"/>
      <c r="D13" s="4"/>
      <c r="E13" s="4"/>
      <c r="F13" s="4"/>
      <c r="G13" s="4"/>
      <c r="H13" s="4"/>
      <c r="I13" s="4"/>
    </row>
    <row r="14" spans="1:9" ht="16.5" customHeight="1" x14ac:dyDescent="0.35">
      <c r="A14" s="6" t="str">
        <f>M36</f>
        <v xml:space="preserve">输出功率  </v>
      </c>
      <c r="B14" s="15">
        <f>ROUND(B12*F8,2)</f>
        <v>779.25</v>
      </c>
      <c r="C14" s="4" t="s">
        <v>1</v>
      </c>
      <c r="D14" s="16" t="str">
        <f>M44</f>
        <v xml:space="preserve">电机额定工况下为额定功率 </v>
      </c>
      <c r="E14" s="4"/>
      <c r="F14" s="4"/>
      <c r="G14" s="4"/>
      <c r="H14" s="4"/>
      <c r="I14" s="4"/>
    </row>
    <row r="15" spans="1:9" ht="15" customHeight="1" x14ac:dyDescent="0.35">
      <c r="A15" s="6"/>
      <c r="B15" s="4"/>
      <c r="C15" s="4"/>
      <c r="D15" s="16"/>
      <c r="E15" s="4"/>
      <c r="F15" s="4"/>
      <c r="G15" s="4"/>
      <c r="H15" s="4"/>
      <c r="I15" s="4"/>
    </row>
    <row r="16" spans="1:9" ht="16.5" customHeight="1" x14ac:dyDescent="0.35">
      <c r="A16" s="17" t="str">
        <f>M39</f>
        <v>额定电压下的稳态电流</v>
      </c>
      <c r="B16" s="15">
        <f>IF(B6=0,"",ROUND(B4*F6/B6,2))</f>
        <v>48.6</v>
      </c>
      <c r="C16" s="12" t="s">
        <v>35</v>
      </c>
      <c r="D16" s="25" t="s">
        <v>10</v>
      </c>
      <c r="E16" s="4"/>
      <c r="F16" s="4"/>
      <c r="G16" s="4"/>
      <c r="H16" s="4"/>
      <c r="I16" s="4"/>
    </row>
    <row r="17" spans="1:16" ht="15" customHeight="1" x14ac:dyDescent="0.35">
      <c r="A17" s="6"/>
      <c r="B17" s="4"/>
      <c r="C17" s="4"/>
      <c r="D17" s="25"/>
      <c r="E17" s="4"/>
      <c r="F17" s="4"/>
      <c r="G17" s="4"/>
      <c r="H17" s="4"/>
      <c r="I17" s="4"/>
    </row>
    <row r="18" spans="1:16" ht="16.5" customHeight="1" x14ac:dyDescent="0.35">
      <c r="A18" s="11" t="str">
        <f>M40</f>
        <v xml:space="preserve">启动电流  </v>
      </c>
      <c r="B18" s="18">
        <v>435.55</v>
      </c>
      <c r="C18" s="12" t="s">
        <v>37</v>
      </c>
      <c r="D18" s="16"/>
      <c r="E18" s="4"/>
      <c r="F18" s="4"/>
      <c r="G18" s="4"/>
      <c r="H18" s="4"/>
      <c r="I18" s="4"/>
    </row>
    <row r="19" spans="1:16" ht="15" customHeight="1" x14ac:dyDescent="0.35">
      <c r="A19" s="19"/>
      <c r="B19" s="20"/>
      <c r="C19" s="12"/>
      <c r="D19" s="26"/>
      <c r="E19" s="12"/>
      <c r="F19" s="12"/>
      <c r="G19" s="12"/>
      <c r="H19" s="4"/>
      <c r="I19" s="4"/>
    </row>
    <row r="20" spans="1:16" ht="16.5" customHeight="1" x14ac:dyDescent="0.35">
      <c r="A20" s="19" t="str">
        <f>M41</f>
        <v xml:space="preserve">启动电压  </v>
      </c>
      <c r="B20" s="21">
        <v>10107.74</v>
      </c>
      <c r="C20" s="12" t="s">
        <v>14</v>
      </c>
      <c r="D20" s="26" t="str">
        <f>M45</f>
        <v xml:space="preserve">启动瞬间的电压（最低电压） </v>
      </c>
      <c r="E20" s="12"/>
      <c r="F20" s="12"/>
      <c r="G20" s="12"/>
      <c r="H20" s="4"/>
      <c r="I20" s="4"/>
    </row>
    <row r="21" spans="1:16" ht="15" customHeight="1" x14ac:dyDescent="0.35">
      <c r="A21" s="19"/>
      <c r="B21" s="20"/>
      <c r="C21" s="12"/>
      <c r="D21" s="27"/>
      <c r="E21" s="12"/>
      <c r="F21" s="12"/>
      <c r="G21" s="12"/>
      <c r="H21" s="4"/>
      <c r="I21" s="4"/>
    </row>
    <row r="22" spans="1:16" ht="16.5" customHeight="1" x14ac:dyDescent="0.35">
      <c r="A22" s="22" t="str">
        <f>M42</f>
        <v>额定电压下的启动电流</v>
      </c>
      <c r="B22" s="23">
        <f>IF(B20=0,"",ROUND(B18*F6/B20,2))</f>
        <v>430.91</v>
      </c>
      <c r="C22" s="12"/>
      <c r="D22" s="27" t="s">
        <v>9</v>
      </c>
      <c r="E22" s="12"/>
      <c r="F22" s="12"/>
      <c r="G22" s="12"/>
      <c r="H22" s="4"/>
      <c r="I22" s="4"/>
    </row>
    <row r="23" spans="1:16" ht="15" customHeight="1" x14ac:dyDescent="0.35">
      <c r="A23" s="19"/>
      <c r="B23" s="12"/>
      <c r="C23" s="12"/>
      <c r="D23" s="26"/>
      <c r="E23" s="12"/>
      <c r="F23" s="12"/>
      <c r="G23" s="12"/>
      <c r="H23" s="4"/>
      <c r="I23" s="4"/>
    </row>
    <row r="24" spans="1:16" ht="16.5" customHeight="1" x14ac:dyDescent="0.35">
      <c r="A24" s="22" t="str">
        <f>M43</f>
        <v xml:space="preserve">启动电流比  </v>
      </c>
      <c r="B24" s="23">
        <f>IF(F4=0,"",ROUND((IF(B22="",B18,B22))/F4,1))</f>
        <v>6.5</v>
      </c>
      <c r="C24" s="12"/>
      <c r="D24" s="28" t="s">
        <v>33</v>
      </c>
      <c r="E24" s="12"/>
      <c r="F24" s="12"/>
      <c r="G24" s="12"/>
      <c r="H24" s="4"/>
      <c r="I24" s="4"/>
    </row>
    <row r="25" spans="1:16" ht="10.5" customHeight="1" x14ac:dyDescent="0.3">
      <c r="A25" s="12"/>
      <c r="B25" s="12"/>
      <c r="C25" s="12"/>
      <c r="D25" s="12"/>
      <c r="E25" s="12"/>
      <c r="F25" s="12"/>
      <c r="G25" s="12"/>
      <c r="H25" s="4"/>
      <c r="I25" s="4"/>
    </row>
    <row r="26" spans="1:16" ht="16.5" customHeight="1" x14ac:dyDescent="0.3">
      <c r="A26" s="12"/>
      <c r="B26" s="12"/>
      <c r="C26" s="12"/>
      <c r="D26" s="12"/>
      <c r="E26" s="12"/>
      <c r="F26" s="12"/>
      <c r="G26" s="12"/>
      <c r="H26" s="4"/>
      <c r="I26" s="4"/>
      <c r="M26" s="31"/>
      <c r="N26" s="31"/>
      <c r="O26" s="31" t="s">
        <v>26</v>
      </c>
      <c r="P26" s="32">
        <v>1</v>
      </c>
    </row>
    <row r="27" spans="1:16" x14ac:dyDescent="0.3">
      <c r="B27" s="3" t="s">
        <v>34</v>
      </c>
      <c r="M27" s="31"/>
      <c r="N27" s="31"/>
      <c r="O27" s="31"/>
      <c r="P27" s="31"/>
    </row>
    <row r="28" spans="1:16" ht="15" customHeight="1" x14ac:dyDescent="0.3">
      <c r="M28" s="31" t="s">
        <v>24</v>
      </c>
      <c r="N28" s="31" t="s">
        <v>23</v>
      </c>
      <c r="O28" s="31" t="s">
        <v>25</v>
      </c>
      <c r="P28" s="31"/>
    </row>
    <row r="29" spans="1:16" x14ac:dyDescent="0.3">
      <c r="M29" s="31" t="str">
        <f t="shared" ref="M29:M41" si="0">IF($P$26=1,O29,N29)</f>
        <v>电机电气计算</v>
      </c>
      <c r="N29" s="31" t="s">
        <v>28</v>
      </c>
      <c r="O29" s="31" t="s">
        <v>27</v>
      </c>
      <c r="P29" s="31"/>
    </row>
    <row r="30" spans="1:16" ht="15" customHeight="1" x14ac:dyDescent="0.3">
      <c r="E30"/>
      <c r="F30"/>
      <c r="M30" s="31" t="str">
        <f t="shared" si="0"/>
        <v xml:space="preserve">测量电流  </v>
      </c>
      <c r="N30" s="31" t="s">
        <v>2</v>
      </c>
      <c r="O30" s="31" t="s">
        <v>38</v>
      </c>
      <c r="P30" s="31"/>
    </row>
    <row r="31" spans="1:16" ht="15" customHeight="1" x14ac:dyDescent="0.3">
      <c r="E31"/>
      <c r="F31"/>
      <c r="M31" s="31" t="str">
        <f t="shared" si="0"/>
        <v xml:space="preserve">测量电压  </v>
      </c>
      <c r="N31" s="31" t="s">
        <v>3</v>
      </c>
      <c r="O31" s="31" t="s">
        <v>52</v>
      </c>
      <c r="P31" s="31"/>
    </row>
    <row r="32" spans="1:16" x14ac:dyDescent="0.3">
      <c r="E32"/>
      <c r="F32"/>
      <c r="M32" s="31" t="str">
        <f t="shared" si="0"/>
        <v xml:space="preserve">功率因数  </v>
      </c>
      <c r="N32" s="31" t="s">
        <v>4</v>
      </c>
      <c r="O32" s="31" t="s">
        <v>39</v>
      </c>
      <c r="P32" s="31"/>
    </row>
    <row r="33" spans="13:16" x14ac:dyDescent="0.3">
      <c r="M33" s="31" t="str">
        <f t="shared" si="0"/>
        <v xml:space="preserve">视在功率  </v>
      </c>
      <c r="N33" s="31" t="s">
        <v>5</v>
      </c>
      <c r="O33" s="31" t="s">
        <v>40</v>
      </c>
      <c r="P33" s="31"/>
    </row>
    <row r="34" spans="13:16" x14ac:dyDescent="0.3">
      <c r="M34" s="31" t="str">
        <f t="shared" si="0"/>
        <v xml:space="preserve">电功率  </v>
      </c>
      <c r="N34" s="31" t="s">
        <v>6</v>
      </c>
      <c r="O34" s="31" t="s">
        <v>41</v>
      </c>
      <c r="P34" s="31"/>
    </row>
    <row r="35" spans="13:16" x14ac:dyDescent="0.3">
      <c r="M35" s="31" t="str">
        <f t="shared" si="0"/>
        <v xml:space="preserve">电机效率    </v>
      </c>
      <c r="N35" s="31" t="s">
        <v>7</v>
      </c>
      <c r="O35" s="31" t="s">
        <v>42</v>
      </c>
      <c r="P35" s="31"/>
    </row>
    <row r="36" spans="13:16" x14ac:dyDescent="0.3">
      <c r="M36" s="31" t="str">
        <f t="shared" si="0"/>
        <v xml:space="preserve">输出功率  </v>
      </c>
      <c r="N36" s="31" t="s">
        <v>8</v>
      </c>
      <c r="O36" s="31" t="s">
        <v>43</v>
      </c>
      <c r="P36" s="31"/>
    </row>
    <row r="37" spans="13:16" x14ac:dyDescent="0.3">
      <c r="M37" s="31" t="str">
        <f t="shared" si="0"/>
        <v xml:space="preserve">额定电流    </v>
      </c>
      <c r="N37" s="31" t="s">
        <v>17</v>
      </c>
      <c r="O37" s="31" t="s">
        <v>44</v>
      </c>
      <c r="P37" s="31"/>
    </row>
    <row r="38" spans="13:16" x14ac:dyDescent="0.3">
      <c r="M38" s="31" t="str">
        <f t="shared" si="0"/>
        <v xml:space="preserve">额定电压    </v>
      </c>
      <c r="N38" s="31" t="s">
        <v>18</v>
      </c>
      <c r="O38" s="31" t="s">
        <v>45</v>
      </c>
      <c r="P38" s="31"/>
    </row>
    <row r="39" spans="13:16" x14ac:dyDescent="0.3">
      <c r="M39" s="31" t="str">
        <f t="shared" si="0"/>
        <v>额定电压下的稳态电流</v>
      </c>
      <c r="N39" s="31" t="s">
        <v>22</v>
      </c>
      <c r="O39" s="31" t="s">
        <v>13</v>
      </c>
      <c r="P39" s="31"/>
    </row>
    <row r="40" spans="13:16" x14ac:dyDescent="0.3">
      <c r="M40" s="31" t="str">
        <f t="shared" si="0"/>
        <v xml:space="preserve">启动电流  </v>
      </c>
      <c r="N40" s="31" t="s">
        <v>19</v>
      </c>
      <c r="O40" s="31" t="s">
        <v>47</v>
      </c>
      <c r="P40" s="31"/>
    </row>
    <row r="41" spans="13:16" x14ac:dyDescent="0.3">
      <c r="M41" s="31" t="str">
        <f t="shared" si="0"/>
        <v xml:space="preserve">启动电压  </v>
      </c>
      <c r="N41" s="31" t="s">
        <v>20</v>
      </c>
      <c r="O41" s="31" t="s">
        <v>46</v>
      </c>
      <c r="P41" s="31"/>
    </row>
    <row r="42" spans="13:16" x14ac:dyDescent="0.3">
      <c r="M42" s="31" t="str">
        <f>IF($P$26=1,O42,N42)</f>
        <v>额定电压下的启动电流</v>
      </c>
      <c r="N42" s="31" t="s">
        <v>21</v>
      </c>
      <c r="O42" s="31" t="s">
        <v>48</v>
      </c>
      <c r="P42" s="31"/>
    </row>
    <row r="43" spans="13:16" x14ac:dyDescent="0.3">
      <c r="M43" s="31" t="str">
        <f>IF($P$26=1,O43,N43)</f>
        <v xml:space="preserve">启动电流比  </v>
      </c>
      <c r="N43" s="31" t="s">
        <v>32</v>
      </c>
      <c r="O43" s="31" t="s">
        <v>49</v>
      </c>
      <c r="P43" s="31"/>
    </row>
    <row r="44" spans="13:16" x14ac:dyDescent="0.3">
      <c r="M44" s="31" t="str">
        <f>IF($P$26=1,O44,N44)</f>
        <v xml:space="preserve">电机额定工况下为额定功率 </v>
      </c>
      <c r="N44" s="31" t="s">
        <v>30</v>
      </c>
      <c r="O44" s="31" t="s">
        <v>50</v>
      </c>
      <c r="P44" s="31"/>
    </row>
    <row r="45" spans="13:16" x14ac:dyDescent="0.3">
      <c r="M45" s="31" t="str">
        <f>IF($P$26=1,O45,N45)</f>
        <v xml:space="preserve">启动瞬间的电压（最低电压） </v>
      </c>
      <c r="N45" s="31" t="s">
        <v>31</v>
      </c>
      <c r="O45" s="31" t="s">
        <v>51</v>
      </c>
      <c r="P45" s="31"/>
    </row>
    <row r="46" spans="13:16" x14ac:dyDescent="0.3">
      <c r="M46" s="33"/>
      <c r="N46" s="33"/>
      <c r="O46" s="33"/>
    </row>
    <row r="47" spans="13:16" x14ac:dyDescent="0.3">
      <c r="M47" s="33"/>
      <c r="N47" s="33"/>
      <c r="O47" s="33"/>
    </row>
    <row r="48" spans="13:16" x14ac:dyDescent="0.3">
      <c r="M48" s="33"/>
      <c r="N48" s="33"/>
      <c r="O48" s="33"/>
    </row>
    <row r="49" spans="13:15" x14ac:dyDescent="0.3">
      <c r="M49" s="33"/>
      <c r="N49" s="33"/>
      <c r="O49" s="33"/>
    </row>
  </sheetData>
  <sheetProtection password="CE24" sheet="1" objects="1" scenarios="1" selectLockedCells="1"/>
  <mergeCells count="1">
    <mergeCell ref="A1:H1"/>
  </mergeCells>
  <phoneticPr fontId="1" type="noConversion"/>
  <dataValidations count="3">
    <dataValidation type="decimal" allowBlank="1" showInputMessage="1" showErrorMessage="1" errorTitle="Oooops少年" error="Wrong Number_x000a_" sqref="B8">
      <formula1>0</formula1>
      <formula2>1</formula2>
    </dataValidation>
    <dataValidation type="decimal" allowBlank="1" showInputMessage="1" showErrorMessage="1" errorTitle="Ooops少年" error="Wrong Number" sqref="F8">
      <formula1>0</formula1>
      <formula2>1</formula2>
    </dataValidation>
    <dataValidation type="decimal" allowBlank="1" showInputMessage="1" showErrorMessage="1" errorTitle="Oooh少年" error="Wrong Number" sqref="B4 B6 B18 B20 F4 F6">
      <formula1>0</formula1>
      <formula2>100000</formula2>
    </dataValidation>
  </dataValidations>
  <pageMargins left="0.7" right="0.7" top="0.75" bottom="0.75" header="0.3" footer="0.3"/>
  <pageSetup paperSize="9" scale="87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Example_image">
          <controlPr defaultSize="0" print="0" autoLine="0" r:id="rId5">
            <anchor moveWithCells="1">
              <from>
                <xdr:col>9</xdr:col>
                <xdr:colOff>9525</xdr:colOff>
                <xdr:row>1</xdr:row>
                <xdr:rowOff>0</xdr:rowOff>
              </from>
              <to>
                <xdr:col>13</xdr:col>
                <xdr:colOff>571500</xdr:colOff>
                <xdr:row>20</xdr:row>
                <xdr:rowOff>28575</xdr:rowOff>
              </to>
            </anchor>
          </controlPr>
        </control>
      </mc:Choice>
      <mc:Fallback>
        <control shapeId="1025" r:id="rId4" name="Example_image"/>
      </mc:Fallback>
    </mc:AlternateContent>
    <mc:AlternateContent xmlns:mc="http://schemas.openxmlformats.org/markup-compatibility/2006">
      <mc:Choice Requires="x14">
        <control shapeId="1026" r:id="rId6" name="Exampe_motor">
          <controlPr defaultSize="0" autoLine="0" r:id="rId7">
            <anchor moveWithCells="1">
              <from>
                <xdr:col>7</xdr:col>
                <xdr:colOff>304800</xdr:colOff>
                <xdr:row>5</xdr:row>
                <xdr:rowOff>171450</xdr:rowOff>
              </from>
              <to>
                <xdr:col>8</xdr:col>
                <xdr:colOff>428625</xdr:colOff>
                <xdr:row>7</xdr:row>
                <xdr:rowOff>114300</xdr:rowOff>
              </to>
            </anchor>
          </controlPr>
        </control>
      </mc:Choice>
      <mc:Fallback>
        <control shapeId="1026" r:id="rId6" name="Exampe_motor"/>
      </mc:Fallback>
    </mc:AlternateContent>
    <mc:AlternateContent xmlns:mc="http://schemas.openxmlformats.org/markup-compatibility/2006">
      <mc:Choice Requires="x14">
        <control shapeId="1027" r:id="rId8" name="Inputbox">
          <controlPr defaultSize="0" autoLine="0" r:id="rId9">
            <anchor moveWithCells="1">
              <from>
                <xdr:col>7</xdr:col>
                <xdr:colOff>314325</xdr:colOff>
                <xdr:row>3</xdr:row>
                <xdr:rowOff>57150</xdr:rowOff>
              </from>
              <to>
                <xdr:col>8</xdr:col>
                <xdr:colOff>438150</xdr:colOff>
                <xdr:row>5</xdr:row>
                <xdr:rowOff>9525</xdr:rowOff>
              </to>
            </anchor>
          </controlPr>
        </control>
      </mc:Choice>
      <mc:Fallback>
        <control shapeId="1027" r:id="rId8" name="Inputbox"/>
      </mc:Fallback>
    </mc:AlternateContent>
    <mc:AlternateContent xmlns:mc="http://schemas.openxmlformats.org/markup-compatibility/2006">
      <mc:Choice Requires="x14">
        <control shapeId="1036" r:id="rId10" name="Option Button 12">
          <controlPr defaultSize="0" autoFill="0" autoLine="0" autoPict="0">
            <anchor moveWithCells="1">
              <from>
                <xdr:col>0</xdr:col>
                <xdr:colOff>0</xdr:colOff>
                <xdr:row>0</xdr:row>
                <xdr:rowOff>47625</xdr:rowOff>
              </from>
              <to>
                <xdr:col>0</xdr:col>
                <xdr:colOff>971550</xdr:colOff>
                <xdr:row>0</xdr:row>
                <xdr:rowOff>257175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1" name="Option Button 13">
          <controlPr defaultSize="0" autoFill="0" autoLine="0" autoPict="0">
            <anchor moveWithCells="1">
              <from>
                <xdr:col>0</xdr:col>
                <xdr:colOff>0</xdr:colOff>
                <xdr:row>0</xdr:row>
                <xdr:rowOff>266700</xdr:rowOff>
              </from>
              <to>
                <xdr:col>0</xdr:col>
                <xdr:colOff>971550</xdr:colOff>
                <xdr:row>0</xdr:row>
                <xdr:rowOff>476250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howOutlineSymbols="0"/>
  </sheetPr>
  <dimension ref="B1:F8"/>
  <sheetViews>
    <sheetView showGridLines="0" showRowColHeaders="0" tabSelected="1" showOutlineSymbols="0" showWhiteSpace="0" workbookViewId="0">
      <selection sqref="A1:XFD1048576"/>
    </sheetView>
  </sheetViews>
  <sheetFormatPr defaultRowHeight="13.5" x14ac:dyDescent="0.15"/>
  <cols>
    <col min="1" max="1" width="43.125" customWidth="1"/>
  </cols>
  <sheetData>
    <row r="1" spans="2:6" ht="30" customHeight="1" x14ac:dyDescent="0.15"/>
    <row r="2" spans="2:6" ht="71.25" customHeight="1" x14ac:dyDescent="0.15"/>
    <row r="4" spans="2:6" ht="16.5" x14ac:dyDescent="0.3">
      <c r="B4" s="1"/>
      <c r="C4" s="2"/>
      <c r="D4" s="2"/>
      <c r="E4" s="2"/>
      <c r="F4" s="2"/>
    </row>
    <row r="5" spans="2:6" ht="16.5" x14ac:dyDescent="0.3">
      <c r="B5" s="1"/>
      <c r="C5" s="2" t="s">
        <v>15</v>
      </c>
      <c r="D5" s="2"/>
      <c r="E5" s="2"/>
      <c r="F5" s="2"/>
    </row>
    <row r="6" spans="2:6" ht="16.5" x14ac:dyDescent="0.3">
      <c r="B6" s="1"/>
      <c r="C6" s="2"/>
      <c r="D6" s="2"/>
      <c r="E6" s="2"/>
      <c r="F6" s="2"/>
    </row>
    <row r="7" spans="2:6" ht="16.5" x14ac:dyDescent="0.3">
      <c r="B7" s="1"/>
      <c r="C7" s="2" t="s">
        <v>16</v>
      </c>
      <c r="D7" s="2"/>
      <c r="E7" s="2"/>
      <c r="F7" s="2"/>
    </row>
    <row r="8" spans="2:6" ht="16.5" x14ac:dyDescent="0.3">
      <c r="B8" s="1"/>
      <c r="C8" s="2"/>
      <c r="D8" s="2"/>
      <c r="E8" s="2"/>
      <c r="F8" s="2"/>
    </row>
  </sheetData>
  <sheetProtection sheet="1" objects="1" scenarios="1" selectLockedCell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Frontpage</vt:lpstr>
      <vt:lpstr>Home!Print_Area</vt:lpstr>
    </vt:vector>
  </TitlesOfParts>
  <Company>CNPEC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 Zhi Hang 林志杭</dc:creator>
  <cp:lastModifiedBy>Zhihang Lin</cp:lastModifiedBy>
  <cp:lastPrinted>2016-04-06T19:11:11Z</cp:lastPrinted>
  <dcterms:created xsi:type="dcterms:W3CDTF">2016-04-05T02:54:32Z</dcterms:created>
  <dcterms:modified xsi:type="dcterms:W3CDTF">2016-06-12T15:07:11Z</dcterms:modified>
</cp:coreProperties>
</file>